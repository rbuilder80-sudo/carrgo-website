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ed Cost" sheetId="1" state="visible" r:id="rId1"/>
    <sheet xmlns:r="http://schemas.openxmlformats.org/officeDocument/2006/relationships" name="Import Checklist" sheetId="2" state="visible" r:id="rId2"/>
    <sheet xmlns:r="http://schemas.openxmlformats.org/officeDocument/2006/relationships" name="Carrgo Quote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GBP #,##0.00"/>
  </numFmts>
  <fonts count="6">
    <font>
      <name val="Calibri"/>
      <family val="2"/>
      <color theme="1"/>
      <sz val="11"/>
      <scheme val="minor"/>
    </font>
    <font>
      <b val="1"/>
      <color rgb="000F172A"/>
      <sz val="18"/>
    </font>
    <font>
      <color rgb="00475569"/>
    </font>
    <font>
      <b val="1"/>
      <color rgb="00FFFFFF"/>
    </font>
    <font>
      <b val="1"/>
    </font>
    <font>
      <b val="1"/>
      <color rgb="000F172A"/>
      <sz val="16"/>
    </font>
  </fonts>
  <fills count="6">
    <fill>
      <patternFill/>
    </fill>
    <fill>
      <patternFill patternType="gray125"/>
    </fill>
    <fill>
      <patternFill patternType="solid">
        <fgColor rgb="001A6DFF"/>
      </patternFill>
    </fill>
    <fill>
      <patternFill patternType="solid">
        <fgColor rgb="00EFF6FF"/>
      </patternFill>
    </fill>
    <fill>
      <patternFill patternType="solid">
        <fgColor rgb="000F172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1" fontId="0" fillId="3" borderId="1" applyAlignment="1" pivotButton="0" quotePrefix="0" xfId="0">
      <alignment vertical="top" wrapText="1"/>
    </xf>
    <xf numFmtId="164" fontId="0" fillId="0" borderId="0" pivotButton="0" quotePrefix="0" xfId="0"/>
    <xf numFmtId="0" fontId="3" fillId="4" borderId="1" pivotButton="0" quotePrefix="0" xfId="0"/>
    <xf numFmtId="164" fontId="3" fillId="4" borderId="1" pivotButton="0" quotePrefix="0" xfId="0"/>
    <xf numFmtId="0" fontId="4" fillId="0" borderId="1" pivotButton="0" quotePrefix="0" xfId="0"/>
    <xf numFmtId="164" fontId="0" fillId="5" borderId="1" pivotButton="0" quotePrefix="0" xfId="0"/>
    <xf numFmtId="0" fontId="0" fillId="5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8" customWidth="1" min="3" max="3"/>
  </cols>
  <sheetData>
    <row r="1">
      <c r="A1" s="1" t="inlineStr">
        <is>
          <t>Carrgo UK Import Cost Tracker</t>
        </is>
      </c>
    </row>
    <row r="2">
      <c r="A2" s="2" t="inlineStr">
        <is>
          <t>Enter values in the blue input cells. Totals update automatically.</t>
        </is>
      </c>
    </row>
    <row r="5">
      <c r="A5" s="3" t="inlineStr">
        <is>
          <t>Input</t>
        </is>
      </c>
      <c r="B5" s="3" t="inlineStr">
        <is>
          <t>Value</t>
        </is>
      </c>
      <c r="C5" s="3" t="inlineStr">
        <is>
          <t>Notes</t>
        </is>
      </c>
    </row>
    <row r="6">
      <c r="A6" s="4" t="inlineStr">
        <is>
          <t>Supplier invoice value</t>
        </is>
      </c>
      <c r="B6" s="5" t="n">
        <v>2500</v>
      </c>
      <c r="C6" s="4" t="inlineStr">
        <is>
          <t>Cost of goods from supplier</t>
        </is>
      </c>
    </row>
    <row r="7">
      <c r="A7" s="4" t="inlineStr">
        <is>
          <t>Supplier currency to GBP rate</t>
        </is>
      </c>
      <c r="B7" s="6" t="n">
        <v>0.79</v>
      </c>
      <c r="C7" s="4" t="inlineStr">
        <is>
          <t>Example: USD to GBP exchange rate</t>
        </is>
      </c>
    </row>
    <row r="8">
      <c r="A8" s="4" t="inlineStr">
        <is>
          <t>Freight cost GBP</t>
        </is>
      </c>
      <c r="B8" s="5" t="n">
        <v>650</v>
      </c>
      <c r="C8" s="4" t="inlineStr">
        <is>
          <t>Sea, air, road or courier freight</t>
        </is>
      </c>
    </row>
    <row r="9">
      <c r="A9" s="4" t="inlineStr">
        <is>
          <t>Insurance GBP</t>
        </is>
      </c>
      <c r="B9" s="5" t="n">
        <v>50</v>
      </c>
      <c r="C9" s="4" t="inlineStr">
        <is>
          <t>Optional cargo insurance</t>
        </is>
      </c>
    </row>
    <row r="10">
      <c r="A10" s="4" t="inlineStr">
        <is>
          <t>Port / terminal charges GBP</t>
        </is>
      </c>
      <c r="B10" s="5" t="n">
        <v>120</v>
      </c>
      <c r="C10" s="4" t="inlineStr">
        <is>
          <t>THC, handling or devanning charges</t>
        </is>
      </c>
    </row>
    <row r="11">
      <c r="A11" s="4" t="inlineStr">
        <is>
          <t>Customs clearance fee GBP</t>
        </is>
      </c>
      <c r="B11" s="5" t="n">
        <v>95</v>
      </c>
      <c r="C11" s="4" t="inlineStr">
        <is>
          <t>Broker / declaration fee</t>
        </is>
      </c>
    </row>
    <row r="12">
      <c r="A12" s="4" t="inlineStr">
        <is>
          <t>Duty rate</t>
        </is>
      </c>
      <c r="B12" s="7" t="n">
        <v>0.04</v>
      </c>
      <c r="C12" s="4" t="inlineStr">
        <is>
          <t>Enter as decimal, e.g. 4% = 0.04</t>
        </is>
      </c>
    </row>
    <row r="13">
      <c r="A13" s="4" t="inlineStr">
        <is>
          <t>Import VAT rate</t>
        </is>
      </c>
      <c r="B13" s="7" t="n">
        <v>0.2</v>
      </c>
      <c r="C13" s="4" t="inlineStr">
        <is>
          <t>UK standard VAT usually 20%</t>
        </is>
      </c>
    </row>
    <row r="14">
      <c r="A14" s="4" t="inlineStr">
        <is>
          <t>Units imported</t>
        </is>
      </c>
      <c r="B14" s="8" t="n">
        <v>500</v>
      </c>
      <c r="C14" s="4" t="inlineStr">
        <is>
          <t>Number of sellable units</t>
        </is>
      </c>
    </row>
    <row r="15">
      <c r="A15" s="4" t="inlineStr">
        <is>
          <t>Selling price per unit GBP</t>
        </is>
      </c>
      <c r="B15" s="5" t="n">
        <v>14.99</v>
      </c>
      <c r="C15" s="4" t="inlineStr">
        <is>
          <t>Optional margin estimate</t>
        </is>
      </c>
    </row>
    <row r="16">
      <c r="B16" s="9" t="n"/>
    </row>
    <row r="17">
      <c r="B17" s="9" t="n"/>
    </row>
    <row r="18">
      <c r="A18" s="10" t="inlineStr">
        <is>
          <t>Result</t>
        </is>
      </c>
      <c r="B18" s="11" t="inlineStr">
        <is>
          <t>Formula</t>
        </is>
      </c>
    </row>
    <row r="19">
      <c r="A19" s="12" t="inlineStr">
        <is>
          <t>Goods value GBP</t>
        </is>
      </c>
      <c r="B19" s="13">
        <f>B6*B7</f>
        <v/>
      </c>
    </row>
    <row r="20">
      <c r="A20" s="12" t="inlineStr">
        <is>
          <t>Customs value GBP</t>
        </is>
      </c>
      <c r="B20" s="13">
        <f>B17+B8+B9+B10</f>
        <v/>
      </c>
    </row>
    <row r="21">
      <c r="A21" s="12" t="inlineStr">
        <is>
          <t>Import duty GBP</t>
        </is>
      </c>
      <c r="B21" s="13">
        <f>B18*B12</f>
        <v/>
      </c>
    </row>
    <row r="22">
      <c r="A22" s="12" t="inlineStr">
        <is>
          <t>VAT value GBP</t>
        </is>
      </c>
      <c r="B22" s="13">
        <f>B18+B19+B11</f>
        <v/>
      </c>
    </row>
    <row r="23">
      <c r="A23" s="12" t="inlineStr">
        <is>
          <t>Import VAT GBP</t>
        </is>
      </c>
      <c r="B23" s="13">
        <f>B20*B13</f>
        <v/>
      </c>
    </row>
    <row r="24">
      <c r="A24" s="12" t="inlineStr">
        <is>
          <t>Total landed cost GBP</t>
        </is>
      </c>
      <c r="B24" s="13">
        <f>B18+B19+B11+B21</f>
        <v/>
      </c>
    </row>
    <row r="25">
      <c r="A25" s="12" t="inlineStr">
        <is>
          <t>Landed cost per unit GBP</t>
        </is>
      </c>
      <c r="B25" s="14">
        <f>IF(B14&gt;0,B22/B14,0)</f>
        <v/>
      </c>
    </row>
    <row r="26">
      <c r="A26" s="12" t="inlineStr">
        <is>
          <t>Estimated gross margin</t>
        </is>
      </c>
      <c r="B26" s="14">
        <f>IF(B15&gt;0,(B15-B23)/B15,0)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</cols>
  <sheetData>
    <row r="1">
      <c r="A1" s="15" t="inlineStr">
        <is>
          <t>UK Import Readiness Checklist</t>
        </is>
      </c>
    </row>
    <row r="3">
      <c r="A3" s="16" t="inlineStr">
        <is>
          <t>Done</t>
        </is>
      </c>
      <c r="B3" s="16" t="inlineStr">
        <is>
          <t>Item</t>
        </is>
      </c>
      <c r="C3" s="16" t="inlineStr">
        <is>
          <t>Why it matters</t>
        </is>
      </c>
    </row>
    <row r="4">
      <c r="A4" s="4" t="inlineStr"/>
      <c r="B4" s="4" t="inlineStr">
        <is>
          <t>GB EORI number</t>
        </is>
      </c>
      <c r="C4" s="4" t="inlineStr">
        <is>
          <t>Needed for UK customs declarations.</t>
        </is>
      </c>
    </row>
    <row r="5">
      <c r="A5" s="4" t="inlineStr"/>
      <c r="B5" s="4" t="inlineStr">
        <is>
          <t>Commodity code checked</t>
        </is>
      </c>
      <c r="C5" s="4" t="inlineStr">
        <is>
          <t>Controls duty rate, VAT treatment and licences.</t>
        </is>
      </c>
    </row>
    <row r="6">
      <c r="A6" s="4" t="inlineStr"/>
      <c r="B6" s="4" t="inlineStr">
        <is>
          <t>Commercial invoice ready</t>
        </is>
      </c>
      <c r="C6" s="4" t="inlineStr">
        <is>
          <t>Needed for customs value and origin checks.</t>
        </is>
      </c>
    </row>
    <row r="7">
      <c r="A7" s="4" t="inlineStr"/>
      <c r="B7" s="4" t="inlineStr">
        <is>
          <t>Packing list ready</t>
        </is>
      </c>
      <c r="C7" s="4" t="inlineStr">
        <is>
          <t>Confirms cartons, pallets, weights and dimensions.</t>
        </is>
      </c>
    </row>
    <row r="8">
      <c r="A8" s="4" t="inlineStr"/>
      <c r="B8" s="4" t="inlineStr">
        <is>
          <t>Incoterms agreed</t>
        </is>
      </c>
      <c r="C8" s="4" t="inlineStr">
        <is>
          <t>Confirms who pays freight, duty, insurance and delivery.</t>
        </is>
      </c>
    </row>
    <row r="9">
      <c r="A9" s="4" t="inlineStr"/>
      <c r="B9" s="4" t="inlineStr">
        <is>
          <t>Freight mode selected</t>
        </is>
      </c>
      <c r="C9" s="4" t="inlineStr">
        <is>
          <t>Sea, air, road or rail based on cost and urgency.</t>
        </is>
      </c>
    </row>
    <row r="10">
      <c r="A10" s="4" t="inlineStr"/>
      <c r="B10" s="4" t="inlineStr">
        <is>
          <t>Customs clearance arranged</t>
        </is>
      </c>
      <c r="C10" s="4" t="inlineStr">
        <is>
          <t>Avoids port delays and unexpected storage charges.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Need a freight quote?</t>
        </is>
      </c>
    </row>
    <row r="3">
      <c r="A3" s="17" t="inlineStr">
        <is>
          <t>Send your origin, destination, cargo description, weight, dimensions, ready date and preferred freight mode to support@carrgo.co.uk or use https://www.carrgo.co.uk/get-a-quote.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2026-09-08T20:17:16Z</dcterms:created>
  <dcterms:modified xmlns:dcterms="http://purl.org/dc/terms/" xmlns:xsi="http://www.w3.org/2001/XMLSchema-instance" xsi:type="dcterms:W3CDTF">2026-09-08T20:17:16Z</dcterms:modified>
</cp:coreProperties>
</file>